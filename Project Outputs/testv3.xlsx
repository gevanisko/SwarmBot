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SwarmBot\Project Outputs\"/>
    </mc:Choice>
  </mc:AlternateContent>
  <xr:revisionPtr revIDLastSave="0" documentId="13_ncr:1_{8D2A728E-44CA-4283-8610-8DBE80E30E81}" xr6:coauthVersionLast="47" xr6:coauthVersionMax="47" xr10:uidLastSave="{00000000-0000-0000-0000-000000000000}"/>
  <bookViews>
    <workbookView xWindow="-120" yWindow="-120" windowWidth="29040" windowHeight="15720" xr2:uid="{F15B07A2-55AA-499A-AE00-C6A3FE0771B3}"/>
  </bookViews>
  <sheets>
    <sheet name="testv3" sheetId="1" r:id="rId1"/>
  </sheets>
  <definedNames>
    <definedName name="_xlnm.Print_Titles" localSheetId="0">testv3!$1:$1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3" i="1"/>
</calcChain>
</file>

<file path=xl/sharedStrings.xml><?xml version="1.0" encoding="utf-8"?>
<sst xmlns="http://schemas.openxmlformats.org/spreadsheetml/2006/main" count="279" uniqueCount="208">
  <si>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</si>
  <si>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</si>
  <si>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</si>
  <si>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</si>
  <si>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</si>
  <si>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</si>
  <si>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</si>
  <si>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</si>
  <si>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</si>
  <si>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/>
  </si>
  <si>
    <t>ANT016008LCS2442MA2</t>
  </si>
  <si>
    <t>RF ANT 2.4GHZ CHIP SOLDER SMD</t>
  </si>
  <si>
    <t>ANT1</t>
  </si>
  <si>
    <t>TDK</t>
  </si>
  <si>
    <t>Arrow Electronics</t>
  </si>
  <si>
    <t>122-3124-GR</t>
  </si>
  <si>
    <t>Coin Cell Battery Holders CR2477 COIN CELL HL</t>
  </si>
  <si>
    <t>BT1</t>
  </si>
  <si>
    <t>Eagle Plastic Devices</t>
  </si>
  <si>
    <t>GRM033Z71C104KE14J, 0.1uF, .1uF</t>
  </si>
  <si>
    <t>Chip Multilayer Ceramic Capacitors for General Purpose, 0201, 0.10uF, X7R, 15%, 10%, 16V</t>
  </si>
  <si>
    <t>C1, C2, C5, C6, C7, C10, C11, C12, C13, C16, C17, C20, C21, C22, C23, C38, C39</t>
  </si>
  <si>
    <t>Murata</t>
  </si>
  <si>
    <t>GRM033Z71C104KE14J</t>
  </si>
  <si>
    <t>Newark</t>
  </si>
  <si>
    <t>87AK1423</t>
  </si>
  <si>
    <t>GRM21A5C2E120FW01D</t>
  </si>
  <si>
    <t>Chip Multilayer Ceramic Capacitors for General Purpose, 0805, 12pF, C0G, 30ppm/°C, 1%, 250V</t>
  </si>
  <si>
    <t>C3, C4</t>
  </si>
  <si>
    <t>Mouser</t>
  </si>
  <si>
    <t>81-GRM21A5C2E120FW1D</t>
  </si>
  <si>
    <t>Capacitor 10µF +/-20% 10V 0603, 10uF</t>
  </si>
  <si>
    <t>Chip Capacitor, 10µF +/-20%, 10V, 0603, Thickness 1 mm</t>
  </si>
  <si>
    <t>C8, C18, C24, C26, C27, C28, C30, C31</t>
  </si>
  <si>
    <t>Samsung Electro-Mechanics</t>
  </si>
  <si>
    <t>CL10A106KP8NNNC</t>
  </si>
  <si>
    <t>DigiKey</t>
  </si>
  <si>
    <t>1276-1192-1-ND</t>
  </si>
  <si>
    <t>Capacitor 1uF +/- 10% 16V 0603</t>
  </si>
  <si>
    <t>Chip Capacitor, 1 uF, +/- 10%, 16 V, 0603 (1608 Metric)</t>
  </si>
  <si>
    <t>C9, C19</t>
  </si>
  <si>
    <t>KEMET</t>
  </si>
  <si>
    <t>C0603C105K4RACTU</t>
  </si>
  <si>
    <t>80-C0603C105K4R</t>
  </si>
  <si>
    <t>12pF</t>
  </si>
  <si>
    <t>Chip Multilayer Ceramic Capacitors for General Purpose, 1206, 12pF, C0G, 30ppm/°C, 5%, 1kV</t>
  </si>
  <si>
    <t>C14, C15</t>
  </si>
  <si>
    <t>GRM31A5C3A120JW01D</t>
  </si>
  <si>
    <t>4.7uF</t>
  </si>
  <si>
    <t>RDEC72A475K3P1H03B</t>
  </si>
  <si>
    <t>C25, C29</t>
  </si>
  <si>
    <t>81-RDEC72A475K3P1H3B</t>
  </si>
  <si>
    <t>10nF</t>
  </si>
  <si>
    <t>C32</t>
  </si>
  <si>
    <t>KYOCERA AVX</t>
  </si>
  <si>
    <t>08055F103KAT2A</t>
  </si>
  <si>
    <t>581-08055F103KAT2A</t>
  </si>
  <si>
    <t>1uF</t>
  </si>
  <si>
    <t>RCEC72A105K1K1H03B</t>
  </si>
  <si>
    <t>C33</t>
  </si>
  <si>
    <t>81-RCEC72A105K1K1H3B</t>
  </si>
  <si>
    <t>10uF</t>
  </si>
  <si>
    <t>Cap Ceramic 10uF 16V X7R 20% Pad SMD 1210 +125°C Automotive T/R</t>
  </si>
  <si>
    <t>C34, C35</t>
  </si>
  <si>
    <t>CGA6M3X7R1C106M200AB</t>
  </si>
  <si>
    <t>1.5pF</t>
  </si>
  <si>
    <t>CAP 1.5pF 10V ±0.1pF 0402 (1005 Metric) Thickness 0.6mm SMD</t>
  </si>
  <si>
    <t>C36</t>
  </si>
  <si>
    <t>Vishay</t>
  </si>
  <si>
    <t>VJ0402A1R5BXQPW1BC</t>
  </si>
  <si>
    <t>77-VJ0402A1R5BXQPBC</t>
  </si>
  <si>
    <t>2.2pF</t>
  </si>
  <si>
    <t>CAP 2.2pF 25V ±0.1pF 0402 (1005 Metric) Thickness 0.6mm SMD</t>
  </si>
  <si>
    <t>C37</t>
  </si>
  <si>
    <t>04023A2R2BAT2A</t>
  </si>
  <si>
    <t>581-04023A2R2BAT2A</t>
  </si>
  <si>
    <t>PTVS3V3P1UP,115</t>
  </si>
  <si>
    <t>TVS DIODE 3.3V 8V CFP5</t>
  </si>
  <si>
    <t>D1</t>
  </si>
  <si>
    <t>Nexperia</t>
  </si>
  <si>
    <t>771-PTVS3V3P1UP115</t>
  </si>
  <si>
    <t>TVS305E3</t>
  </si>
  <si>
    <t>TVS305E3 Uni-Directional Tvs A-Body Rohs Compliant: Yes</t>
  </si>
  <si>
    <t>D2</t>
  </si>
  <si>
    <t>Microchip</t>
  </si>
  <si>
    <t>150-TVS305E3-ND</t>
  </si>
  <si>
    <t>BLM21PG221SN1D</t>
  </si>
  <si>
    <t>Chip Ferrite Bead, 0805, 220Ω @ 100MHz, 0.045Ω, 25%, 2A</t>
  </si>
  <si>
    <t>FB1</t>
  </si>
  <si>
    <t>81-BLM21P221SG</t>
  </si>
  <si>
    <t>F32R-1A7H1-11024</t>
  </si>
  <si>
    <t>Flex Connector, 0.50mm Pitch, Height 2.00mm, Right angle, Slider type, ZIF, Bottom contact, 24 position , Without MYLAR</t>
  </si>
  <si>
    <t>J1</t>
  </si>
  <si>
    <t>Amphenol ICC (FCI)</t>
  </si>
  <si>
    <t>651305142821</t>
  </si>
  <si>
    <t>J2</t>
  </si>
  <si>
    <t>Wurth Elektronik</t>
  </si>
  <si>
    <t>RS (Formerly Allied Electronics)</t>
  </si>
  <si>
    <t>71070897</t>
  </si>
  <si>
    <t>1nH</t>
  </si>
  <si>
    <t>Multilayer type RF Inductor 1nH ±0.3nH 0.07Ω 1000mA 0402</t>
  </si>
  <si>
    <t>L1, L2</t>
  </si>
  <si>
    <t>LQG15HN1N0S02D</t>
  </si>
  <si>
    <t>81-LQG15HN1N0S02D</t>
  </si>
  <si>
    <t>24nH</t>
  </si>
  <si>
    <t>Wire Wound RF Inductor 24nH ±2% 280mA 0.52Ω 0402 (1005)</t>
  </si>
  <si>
    <t>L3</t>
  </si>
  <si>
    <t>LQW15AN24NG00D</t>
  </si>
  <si>
    <t>490-6789-1-ND</t>
  </si>
  <si>
    <t>4.7uH</t>
  </si>
  <si>
    <t>SMD Inductors 4.7uH ±20% 0.11A 0.312Ω 0603</t>
  </si>
  <si>
    <t>L4</t>
  </si>
  <si>
    <t>Taiyo Yuden</t>
  </si>
  <si>
    <t>LBMF1608T4R7M</t>
  </si>
  <si>
    <t>1.8nH</t>
  </si>
  <si>
    <t>Multilayer type RF Inductor 1.8nH ±0.3nH 0.08Ω 950mA 0402</t>
  </si>
  <si>
    <t>L5</t>
  </si>
  <si>
    <t>LQG15HS1N8S02D</t>
  </si>
  <si>
    <t>490-2613-1-ND</t>
  </si>
  <si>
    <t>61300311121</t>
  </si>
  <si>
    <t>P1, P2, P3, P4</t>
  </si>
  <si>
    <t>732-5316-ND</t>
  </si>
  <si>
    <t>10K</t>
  </si>
  <si>
    <t>CRGP 0805 10K 1%</t>
  </si>
  <si>
    <t>R1, R6</t>
  </si>
  <si>
    <t>TE Connectivity</t>
  </si>
  <si>
    <t>CRGP0805F10K</t>
  </si>
  <si>
    <t>73AC3762</t>
  </si>
  <si>
    <t>22</t>
  </si>
  <si>
    <t>R2, R3</t>
  </si>
  <si>
    <t>Yageo Group</t>
  </si>
  <si>
    <t>RC0402JR-1322RL</t>
  </si>
  <si>
    <t>13-RC0402JR-1322RLCT-ND</t>
  </si>
  <si>
    <t>CG0603MLC-05LE</t>
  </si>
  <si>
    <t>VARISTOR 0603</t>
  </si>
  <si>
    <t>R4, R5</t>
  </si>
  <si>
    <t>Bourns</t>
  </si>
  <si>
    <t>Avnet</t>
  </si>
  <si>
    <t>78Y5606</t>
  </si>
  <si>
    <t>10k</t>
  </si>
  <si>
    <t>RES SMD 10KΩ 0.5% 1/16W 0603</t>
  </si>
  <si>
    <t>R7, R8</t>
  </si>
  <si>
    <t>TE Connectivity / AMP</t>
  </si>
  <si>
    <t>2-1614882-6</t>
  </si>
  <si>
    <t>180K</t>
  </si>
  <si>
    <t>CRGP0603 180KΩ 0.25W ±100ppm/°C 1% 50V</t>
  </si>
  <si>
    <t>R9</t>
  </si>
  <si>
    <t>CRGP0603F180K</t>
  </si>
  <si>
    <t>A130443CT-ND</t>
  </si>
  <si>
    <t>1M</t>
  </si>
  <si>
    <t>RES 1M OHM 1% 1/4W 0603</t>
  </si>
  <si>
    <t>R10</t>
  </si>
  <si>
    <t>CRGP0603F1M0</t>
  </si>
  <si>
    <t>73AC3638</t>
  </si>
  <si>
    <t>AC0603JR-7W10KL</t>
  </si>
  <si>
    <t>RES 10kΩ 5.00% 0.2W 0603</t>
  </si>
  <si>
    <t>R11, R12</t>
  </si>
  <si>
    <t>603-AC0603JR-7W10KL</t>
  </si>
  <si>
    <t>B3U-1000P-B</t>
  </si>
  <si>
    <t>Ultra-small Surface-mounting Tactile Switches with High Contact Reliability, SPST-NO, -25 to 70 degC, 2-Pin SMD, RoHS, Tape and Reel</t>
  </si>
  <si>
    <t>SW1, SW2</t>
  </si>
  <si>
    <t>Omron</t>
  </si>
  <si>
    <t>SW1143CT-ND</t>
  </si>
  <si>
    <t>EG1218</t>
  </si>
  <si>
    <t>Slide Switch, SPDT, 500 V, -20 to 70 degC, 3-Pin THD, RoHS, Bulk</t>
  </si>
  <si>
    <t>SW3</t>
  </si>
  <si>
    <t>E-Switch</t>
  </si>
  <si>
    <t>Future Electronics</t>
  </si>
  <si>
    <t>9403163</t>
  </si>
  <si>
    <t>ESP32-S3R8</t>
  </si>
  <si>
    <t>ESP32-S3R8 RF System on a Chip - SoC SMD IC, Dual-Core MCU, Wi-Fi 2.4G BLE 5.0 Combo</t>
  </si>
  <si>
    <t>U1</t>
  </si>
  <si>
    <t>Espressif Systems</t>
  </si>
  <si>
    <t>1904-ESP32-S3R8CT-ND</t>
  </si>
  <si>
    <t>AT25FF321A-SSHN-T</t>
  </si>
  <si>
    <t>32Mbit, 1.65 V to 3.6 V SPI Serial Flash Memory with Multi-I/O Support</t>
  </si>
  <si>
    <t>U2</t>
  </si>
  <si>
    <t>Renesas</t>
  </si>
  <si>
    <t>724-AT25FF321ASSHNT</t>
  </si>
  <si>
    <t>W25Q64JVSSIQ</t>
  </si>
  <si>
    <t>FLASH - NOR Memory IC 64Mbit SPI - Quad I/O 133 MHz 8-SOIC</t>
  </si>
  <si>
    <t>U3</t>
  </si>
  <si>
    <t>Winbond Electronics</t>
  </si>
  <si>
    <t>SPX1117M3-L-1-8</t>
  </si>
  <si>
    <t>Linear Voltage Regulator IC Positive Fixed 1 Output 800mA SOT-223-3</t>
  </si>
  <si>
    <t>U5</t>
  </si>
  <si>
    <t>MaxLinear Inc</t>
  </si>
  <si>
    <t>SPX1117M3-L-1-8/TR</t>
  </si>
  <si>
    <t>SPX1117M3-L-3-3/TR</t>
  </si>
  <si>
    <t>U6</t>
  </si>
  <si>
    <t>SPX3819M5-L-3-0</t>
  </si>
  <si>
    <t>Linear Voltage Regulator IC Positive Fixed 1 Output 500mA SOT-23-5</t>
  </si>
  <si>
    <t>U7</t>
  </si>
  <si>
    <t>TPS61220DCKR</t>
  </si>
  <si>
    <t>Boost Voltage Converter with 0.7 to 5.5 V Input and 1.8 to 5.5 V Output, -40 to 85 degC, 6-Pin SC70 (DCK), Green (RoHS &amp; no Sb/Br)</t>
  </si>
  <si>
    <t>U8</t>
  </si>
  <si>
    <t>Texas Instruments</t>
  </si>
  <si>
    <t>ABS07-32.768KHZ-9-T</t>
  </si>
  <si>
    <t>Crystal 32.768kHz ±20ppm (Tol) 9pF FUND 70kΩ 2-Pin CSMD T/R</t>
  </si>
  <si>
    <t>Y1</t>
  </si>
  <si>
    <t>Abracon</t>
  </si>
  <si>
    <t>14N8751</t>
  </si>
  <si>
    <t>40.000MHZ</t>
  </si>
  <si>
    <t>Crystal 40MHz ±10ppm 10pF SMD-4 3.2mm x 2.5mm</t>
  </si>
  <si>
    <t>Y2</t>
  </si>
  <si>
    <t>ABM8-40.000MHZ-10-1-U-T</t>
  </si>
  <si>
    <t>535-9682-1-ND</t>
  </si>
  <si>
    <t>Supplier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</si>
</sst>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B93D-17D1-4633-AE9F-10DC9D8B8334}">
  <sheetPr>
    <pageSetUpPr fitToPage="1"/>
  </sheetPr>
  <dimension ref="A1:J42"/>
  <sheetViews>
    <sheetView tabSelected="1" zoomScale="55" zoomScaleNormal="55" workbookViewId="0">
      <selection activeCell="B3" sqref="B3"/>
    </sheetView>
  </sheetViews>
  <sheetFormatPr defaultRowHeight="14.25" x14ac:dyDescent="0.2"/>
  <cols>
    <col min="1" max="1" width="10.5" customWidth="1"/>
    <col min="2" max="2" width="27.625" customWidth="1"/>
    <col min="3" max="3" width="14.5" style="7" customWidth="1"/>
    <col min="4" max="4" width="14" customWidth="1"/>
    <col min="5" max="5" width="12.375" customWidth="1"/>
    <col min="6" max="6" width="17.25" customWidth="1"/>
    <col min="7" max="7" width="26.5" customWidth="1"/>
    <col min="8" max="8" width="13.875" customWidth="1"/>
    <col min="9" max="9" width="22" customWidth="1"/>
    <col min="10" max="10" width="14.75" customWidth="1"/>
  </cols>
  <sheetData>
    <row r="1" spans="1:10" s="4" customFormat="1" ht="34.5" customHeight="1" x14ac:dyDescent="0.2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207</v>
      </c>
    </row>
    <row r="2" spans="1:10" ht="30" customHeight="1" x14ac:dyDescent="0.2">
      <c r="A2" s="2">
        <v>1</v>
      </c>
      <c r="B2" s="2" t="s">
        <v>10</v>
      </c>
      <c r="C2" s="6" t="s">
        <v>11</v>
      </c>
      <c r="D2" s="2" t="s">
        <v>12</v>
      </c>
      <c r="E2" s="1">
        <v>1</v>
      </c>
      <c r="F2" s="2" t="s">
        <v>13</v>
      </c>
      <c r="G2" s="2" t="s">
        <v>10</v>
      </c>
      <c r="H2" s="2" t="s">
        <v>14</v>
      </c>
      <c r="I2" s="2" t="s">
        <v>10</v>
      </c>
      <c r="J2" s="1">
        <v>0.28349999999999997</v>
      </c>
    </row>
    <row r="3" spans="1:10" ht="57" x14ac:dyDescent="0.2">
      <c r="A3" s="2">
        <f>A2+1</f>
        <v>2</v>
      </c>
      <c r="B3" s="2" t="s">
        <v>15</v>
      </c>
      <c r="C3" s="6" t="s">
        <v>16</v>
      </c>
      <c r="D3" s="2" t="s">
        <v>17</v>
      </c>
      <c r="E3" s="1">
        <v>1</v>
      </c>
      <c r="F3" s="2" t="s">
        <v>18</v>
      </c>
      <c r="G3" s="2" t="s">
        <v>15</v>
      </c>
      <c r="H3" s="1"/>
      <c r="I3" s="1"/>
      <c r="J3" s="1"/>
    </row>
    <row r="4" spans="1:10" ht="99.75" x14ac:dyDescent="0.2">
      <c r="A4" s="2">
        <f t="shared" ref="A4:A42" si="0">A3+1</f>
        <v>3</v>
      </c>
      <c r="B4" s="2" t="s">
        <v>19</v>
      </c>
      <c r="C4" s="6" t="s">
        <v>20</v>
      </c>
      <c r="D4" s="2" t="s">
        <v>21</v>
      </c>
      <c r="E4" s="1">
        <v>17</v>
      </c>
      <c r="F4" s="2" t="s">
        <v>22</v>
      </c>
      <c r="G4" s="2" t="s">
        <v>23</v>
      </c>
      <c r="H4" s="2" t="s">
        <v>24</v>
      </c>
      <c r="I4" s="2" t="s">
        <v>25</v>
      </c>
      <c r="J4" s="1">
        <v>1.7000000000000001E-2</v>
      </c>
    </row>
    <row r="5" spans="1:10" ht="114" x14ac:dyDescent="0.2">
      <c r="A5" s="2">
        <f t="shared" si="0"/>
        <v>4</v>
      </c>
      <c r="B5" s="2" t="s">
        <v>26</v>
      </c>
      <c r="C5" s="6" t="s">
        <v>27</v>
      </c>
      <c r="D5" s="2" t="s">
        <v>28</v>
      </c>
      <c r="E5" s="1">
        <v>2</v>
      </c>
      <c r="F5" s="2" t="s">
        <v>22</v>
      </c>
      <c r="G5" s="2" t="s">
        <v>26</v>
      </c>
      <c r="H5" s="2" t="s">
        <v>29</v>
      </c>
      <c r="I5" s="2" t="s">
        <v>30</v>
      </c>
      <c r="J5" s="1">
        <v>0.36</v>
      </c>
    </row>
    <row r="6" spans="1:10" ht="57" x14ac:dyDescent="0.2">
      <c r="A6" s="2">
        <f t="shared" si="0"/>
        <v>5</v>
      </c>
      <c r="B6" s="2" t="s">
        <v>31</v>
      </c>
      <c r="C6" s="6" t="s">
        <v>32</v>
      </c>
      <c r="D6" s="2" t="s">
        <v>33</v>
      </c>
      <c r="E6" s="1">
        <v>8</v>
      </c>
      <c r="F6" s="2" t="s">
        <v>34</v>
      </c>
      <c r="G6" s="2" t="s">
        <v>35</v>
      </c>
      <c r="H6" s="2" t="s">
        <v>36</v>
      </c>
      <c r="I6" s="2" t="s">
        <v>37</v>
      </c>
      <c r="J6" s="1">
        <v>2.1999999999999999E-2</v>
      </c>
    </row>
    <row r="7" spans="1:10" ht="57" x14ac:dyDescent="0.2">
      <c r="A7" s="2">
        <f t="shared" si="0"/>
        <v>6</v>
      </c>
      <c r="B7" s="2" t="s">
        <v>38</v>
      </c>
      <c r="C7" s="6" t="s">
        <v>39</v>
      </c>
      <c r="D7" s="2" t="s">
        <v>40</v>
      </c>
      <c r="E7" s="1">
        <v>2</v>
      </c>
      <c r="F7" s="2" t="s">
        <v>41</v>
      </c>
      <c r="G7" s="2" t="s">
        <v>42</v>
      </c>
      <c r="H7" s="2" t="s">
        <v>29</v>
      </c>
      <c r="I7" s="2" t="s">
        <v>43</v>
      </c>
      <c r="J7" s="1">
        <v>1.0999999999999999E-2</v>
      </c>
    </row>
    <row r="8" spans="1:10" ht="114" x14ac:dyDescent="0.2">
      <c r="A8" s="2">
        <f t="shared" si="0"/>
        <v>7</v>
      </c>
      <c r="B8" s="2" t="s">
        <v>44</v>
      </c>
      <c r="C8" s="6" t="s">
        <v>45</v>
      </c>
      <c r="D8" s="2" t="s">
        <v>46</v>
      </c>
      <c r="E8" s="1">
        <v>2</v>
      </c>
      <c r="F8" s="2" t="s">
        <v>22</v>
      </c>
      <c r="G8" s="2" t="s">
        <v>47</v>
      </c>
      <c r="H8" s="1"/>
      <c r="I8" s="1"/>
      <c r="J8" s="1"/>
    </row>
    <row r="9" spans="1:10" ht="28.5" x14ac:dyDescent="0.2">
      <c r="A9" s="2">
        <f t="shared" si="0"/>
        <v>8</v>
      </c>
      <c r="B9" s="2" t="s">
        <v>48</v>
      </c>
      <c r="C9" s="6" t="s">
        <v>49</v>
      </c>
      <c r="D9" s="2" t="s">
        <v>50</v>
      </c>
      <c r="E9" s="1">
        <v>2</v>
      </c>
      <c r="F9" s="2" t="s">
        <v>22</v>
      </c>
      <c r="G9" s="2" t="s">
        <v>49</v>
      </c>
      <c r="H9" s="2" t="s">
        <v>29</v>
      </c>
      <c r="I9" s="2" t="s">
        <v>51</v>
      </c>
      <c r="J9" s="1">
        <v>1.48</v>
      </c>
    </row>
    <row r="10" spans="1:10" x14ac:dyDescent="0.2">
      <c r="A10" s="2">
        <f t="shared" si="0"/>
        <v>9</v>
      </c>
      <c r="B10" s="2" t="s">
        <v>52</v>
      </c>
      <c r="C10" s="6" t="s">
        <v>9</v>
      </c>
      <c r="D10" s="2" t="s">
        <v>53</v>
      </c>
      <c r="E10" s="1">
        <v>1</v>
      </c>
      <c r="F10" s="2" t="s">
        <v>54</v>
      </c>
      <c r="G10" s="2" t="s">
        <v>55</v>
      </c>
      <c r="H10" s="2" t="s">
        <v>29</v>
      </c>
      <c r="I10" s="2" t="s">
        <v>56</v>
      </c>
      <c r="J10" s="1">
        <v>0.28000000000000003</v>
      </c>
    </row>
    <row r="11" spans="1:10" ht="28.5" x14ac:dyDescent="0.2">
      <c r="A11" s="2">
        <f t="shared" si="0"/>
        <v>10</v>
      </c>
      <c r="B11" s="2" t="s">
        <v>57</v>
      </c>
      <c r="C11" s="6" t="s">
        <v>58</v>
      </c>
      <c r="D11" s="2" t="s">
        <v>59</v>
      </c>
      <c r="E11" s="1">
        <v>1</v>
      </c>
      <c r="F11" s="2" t="s">
        <v>22</v>
      </c>
      <c r="G11" s="2" t="s">
        <v>58</v>
      </c>
      <c r="H11" s="2" t="s">
        <v>29</v>
      </c>
      <c r="I11" s="2" t="s">
        <v>60</v>
      </c>
      <c r="J11" s="1">
        <v>0.81</v>
      </c>
    </row>
    <row r="12" spans="1:10" ht="71.25" x14ac:dyDescent="0.2">
      <c r="A12" s="2">
        <f t="shared" si="0"/>
        <v>11</v>
      </c>
      <c r="B12" s="2" t="s">
        <v>61</v>
      </c>
      <c r="C12" s="6" t="s">
        <v>62</v>
      </c>
      <c r="D12" s="2" t="s">
        <v>63</v>
      </c>
      <c r="E12" s="1">
        <v>2</v>
      </c>
      <c r="F12" s="2" t="s">
        <v>13</v>
      </c>
      <c r="G12" s="2" t="s">
        <v>64</v>
      </c>
      <c r="H12" s="1"/>
      <c r="I12" s="1"/>
      <c r="J12" s="1"/>
    </row>
    <row r="13" spans="1:10" ht="71.25" x14ac:dyDescent="0.2">
      <c r="A13" s="2">
        <f t="shared" si="0"/>
        <v>12</v>
      </c>
      <c r="B13" s="2" t="s">
        <v>65</v>
      </c>
      <c r="C13" s="6" t="s">
        <v>66</v>
      </c>
      <c r="D13" s="2" t="s">
        <v>67</v>
      </c>
      <c r="E13" s="1">
        <v>1</v>
      </c>
      <c r="F13" s="2" t="s">
        <v>68</v>
      </c>
      <c r="G13" s="2" t="s">
        <v>69</v>
      </c>
      <c r="H13" s="2" t="s">
        <v>29</v>
      </c>
      <c r="I13" s="2" t="s">
        <v>70</v>
      </c>
      <c r="J13" s="1">
        <v>0.14000000000000001</v>
      </c>
    </row>
    <row r="14" spans="1:10" ht="71.25" x14ac:dyDescent="0.2">
      <c r="A14" s="2">
        <f t="shared" si="0"/>
        <v>13</v>
      </c>
      <c r="B14" s="2" t="s">
        <v>71</v>
      </c>
      <c r="C14" s="6" t="s">
        <v>72</v>
      </c>
      <c r="D14" s="2" t="s">
        <v>73</v>
      </c>
      <c r="E14" s="1">
        <v>1</v>
      </c>
      <c r="F14" s="2" t="s">
        <v>54</v>
      </c>
      <c r="G14" s="2" t="s">
        <v>74</v>
      </c>
      <c r="H14" s="2" t="s">
        <v>29</v>
      </c>
      <c r="I14" s="2" t="s">
        <v>75</v>
      </c>
      <c r="J14" s="1">
        <v>0.3</v>
      </c>
    </row>
    <row r="15" spans="1:10" ht="28.5" x14ac:dyDescent="0.2">
      <c r="A15" s="2">
        <f t="shared" si="0"/>
        <v>14</v>
      </c>
      <c r="B15" s="2" t="s">
        <v>76</v>
      </c>
      <c r="C15" s="6" t="s">
        <v>77</v>
      </c>
      <c r="D15" s="2" t="s">
        <v>78</v>
      </c>
      <c r="E15" s="1">
        <v>1</v>
      </c>
      <c r="F15" s="2" t="s">
        <v>79</v>
      </c>
      <c r="G15" s="2" t="s">
        <v>76</v>
      </c>
      <c r="H15" s="2" t="s">
        <v>29</v>
      </c>
      <c r="I15" s="2" t="s">
        <v>80</v>
      </c>
      <c r="J15" s="1">
        <v>0.81</v>
      </c>
    </row>
    <row r="16" spans="1:10" ht="57" x14ac:dyDescent="0.2">
      <c r="A16" s="2">
        <f t="shared" si="0"/>
        <v>15</v>
      </c>
      <c r="B16" s="2" t="s">
        <v>81</v>
      </c>
      <c r="C16" s="6" t="s">
        <v>82</v>
      </c>
      <c r="D16" s="2" t="s">
        <v>83</v>
      </c>
      <c r="E16" s="1">
        <v>1</v>
      </c>
      <c r="F16" s="2" t="s">
        <v>84</v>
      </c>
      <c r="G16" s="2" t="s">
        <v>81</v>
      </c>
      <c r="H16" s="2" t="s">
        <v>36</v>
      </c>
      <c r="I16" s="2" t="s">
        <v>85</v>
      </c>
      <c r="J16" s="1">
        <v>11.89</v>
      </c>
    </row>
    <row r="17" spans="1:10" ht="85.5" x14ac:dyDescent="0.2">
      <c r="A17" s="2">
        <f t="shared" si="0"/>
        <v>16</v>
      </c>
      <c r="B17" s="2" t="s">
        <v>86</v>
      </c>
      <c r="C17" s="6" t="s">
        <v>87</v>
      </c>
      <c r="D17" s="2" t="s">
        <v>88</v>
      </c>
      <c r="E17" s="1">
        <v>1</v>
      </c>
      <c r="F17" s="2" t="s">
        <v>22</v>
      </c>
      <c r="G17" s="2" t="s">
        <v>86</v>
      </c>
      <c r="H17" s="2" t="s">
        <v>29</v>
      </c>
      <c r="I17" s="2" t="s">
        <v>89</v>
      </c>
      <c r="J17" s="1">
        <v>0.11</v>
      </c>
    </row>
    <row r="18" spans="1:10" ht="114" x14ac:dyDescent="0.2">
      <c r="A18" s="2">
        <f t="shared" si="0"/>
        <v>17</v>
      </c>
      <c r="B18" s="2" t="s">
        <v>90</v>
      </c>
      <c r="C18" s="6" t="s">
        <v>91</v>
      </c>
      <c r="D18" s="2" t="s">
        <v>92</v>
      </c>
      <c r="E18" s="1">
        <v>1</v>
      </c>
      <c r="F18" s="2" t="s">
        <v>93</v>
      </c>
      <c r="G18" s="2" t="s">
        <v>90</v>
      </c>
      <c r="H18" s="1"/>
      <c r="I18" s="1"/>
      <c r="J18" s="1"/>
    </row>
    <row r="19" spans="1:10" x14ac:dyDescent="0.2">
      <c r="A19" s="2">
        <f t="shared" si="0"/>
        <v>18</v>
      </c>
      <c r="B19" s="2" t="s">
        <v>94</v>
      </c>
      <c r="C19" s="6" t="s">
        <v>9</v>
      </c>
      <c r="D19" s="2" t="s">
        <v>95</v>
      </c>
      <c r="E19" s="1">
        <v>1</v>
      </c>
      <c r="F19" s="2" t="s">
        <v>96</v>
      </c>
      <c r="G19" s="2" t="s">
        <v>94</v>
      </c>
      <c r="H19" s="2" t="s">
        <v>97</v>
      </c>
      <c r="I19" s="2" t="s">
        <v>98</v>
      </c>
      <c r="J19" s="1">
        <v>0.86</v>
      </c>
    </row>
    <row r="20" spans="1:10" ht="57" x14ac:dyDescent="0.2">
      <c r="A20" s="2">
        <f t="shared" si="0"/>
        <v>19</v>
      </c>
      <c r="B20" s="2" t="s">
        <v>99</v>
      </c>
      <c r="C20" s="6" t="s">
        <v>100</v>
      </c>
      <c r="D20" s="2" t="s">
        <v>101</v>
      </c>
      <c r="E20" s="1">
        <v>2</v>
      </c>
      <c r="F20" s="2" t="s">
        <v>22</v>
      </c>
      <c r="G20" s="2" t="s">
        <v>102</v>
      </c>
      <c r="H20" s="2" t="s">
        <v>29</v>
      </c>
      <c r="I20" s="2" t="s">
        <v>103</v>
      </c>
      <c r="J20" s="1">
        <v>0.1</v>
      </c>
    </row>
    <row r="21" spans="1:10" ht="71.25" x14ac:dyDescent="0.2">
      <c r="A21" s="2">
        <f t="shared" si="0"/>
        <v>20</v>
      </c>
      <c r="B21" s="2" t="s">
        <v>104</v>
      </c>
      <c r="C21" s="6" t="s">
        <v>105</v>
      </c>
      <c r="D21" s="2" t="s">
        <v>106</v>
      </c>
      <c r="E21" s="1">
        <v>1</v>
      </c>
      <c r="F21" s="2" t="s">
        <v>22</v>
      </c>
      <c r="G21" s="2" t="s">
        <v>107</v>
      </c>
      <c r="H21" s="2" t="s">
        <v>36</v>
      </c>
      <c r="I21" s="2" t="s">
        <v>108</v>
      </c>
      <c r="J21" s="1">
        <v>0.11</v>
      </c>
    </row>
    <row r="22" spans="1:10" ht="57" x14ac:dyDescent="0.2">
      <c r="A22" s="2">
        <f t="shared" si="0"/>
        <v>21</v>
      </c>
      <c r="B22" s="2" t="s">
        <v>109</v>
      </c>
      <c r="C22" s="6" t="s">
        <v>110</v>
      </c>
      <c r="D22" s="2" t="s">
        <v>111</v>
      </c>
      <c r="E22" s="1">
        <v>1</v>
      </c>
      <c r="F22" s="2" t="s">
        <v>112</v>
      </c>
      <c r="G22" s="2" t="s">
        <v>113</v>
      </c>
      <c r="H22" s="2" t="s">
        <v>14</v>
      </c>
      <c r="I22" s="2" t="s">
        <v>113</v>
      </c>
      <c r="J22" s="1">
        <v>6.0000000000000001E-3</v>
      </c>
    </row>
    <row r="23" spans="1:10" ht="71.25" x14ac:dyDescent="0.2">
      <c r="A23" s="2">
        <f t="shared" si="0"/>
        <v>22</v>
      </c>
      <c r="B23" s="2" t="s">
        <v>114</v>
      </c>
      <c r="C23" s="6" t="s">
        <v>115</v>
      </c>
      <c r="D23" s="2" t="s">
        <v>116</v>
      </c>
      <c r="E23" s="1">
        <v>1</v>
      </c>
      <c r="F23" s="2" t="s">
        <v>22</v>
      </c>
      <c r="G23" s="2" t="s">
        <v>117</v>
      </c>
      <c r="H23" s="2" t="s">
        <v>36</v>
      </c>
      <c r="I23" s="2" t="s">
        <v>118</v>
      </c>
      <c r="J23" s="1">
        <v>0.1</v>
      </c>
    </row>
    <row r="24" spans="1:10" ht="27.75" customHeight="1" x14ac:dyDescent="0.2">
      <c r="A24" s="2">
        <f t="shared" si="0"/>
        <v>23</v>
      </c>
      <c r="B24" s="2" t="s">
        <v>119</v>
      </c>
      <c r="C24" s="6" t="s">
        <v>9</v>
      </c>
      <c r="D24" s="2" t="s">
        <v>120</v>
      </c>
      <c r="E24" s="1">
        <v>4</v>
      </c>
      <c r="F24" s="2" t="s">
        <v>96</v>
      </c>
      <c r="G24" s="2" t="s">
        <v>119</v>
      </c>
      <c r="H24" s="2" t="s">
        <v>36</v>
      </c>
      <c r="I24" s="2" t="s">
        <v>121</v>
      </c>
      <c r="J24" s="1">
        <v>0.12</v>
      </c>
    </row>
    <row r="25" spans="1:10" ht="24.75" customHeight="1" x14ac:dyDescent="0.2">
      <c r="A25" s="2">
        <f t="shared" si="0"/>
        <v>24</v>
      </c>
      <c r="B25" s="2" t="s">
        <v>122</v>
      </c>
      <c r="C25" s="6" t="s">
        <v>123</v>
      </c>
      <c r="D25" s="2" t="s">
        <v>124</v>
      </c>
      <c r="E25" s="1">
        <v>2</v>
      </c>
      <c r="F25" s="2" t="s">
        <v>125</v>
      </c>
      <c r="G25" s="2" t="s">
        <v>126</v>
      </c>
      <c r="H25" s="2" t="s">
        <v>24</v>
      </c>
      <c r="I25" s="2" t="s">
        <v>127</v>
      </c>
      <c r="J25" s="1">
        <v>1.7000000000000001E-2</v>
      </c>
    </row>
    <row r="26" spans="1:10" x14ac:dyDescent="0.2">
      <c r="A26" s="2">
        <f t="shared" si="0"/>
        <v>25</v>
      </c>
      <c r="B26" s="2" t="s">
        <v>128</v>
      </c>
      <c r="C26" s="6" t="s">
        <v>9</v>
      </c>
      <c r="D26" s="2" t="s">
        <v>129</v>
      </c>
      <c r="E26" s="1">
        <v>2</v>
      </c>
      <c r="F26" s="2" t="s">
        <v>130</v>
      </c>
      <c r="G26" s="2" t="s">
        <v>131</v>
      </c>
      <c r="H26" s="2" t="s">
        <v>36</v>
      </c>
      <c r="I26" s="2" t="s">
        <v>132</v>
      </c>
      <c r="J26" s="1">
        <v>8.0000000000000002E-3</v>
      </c>
    </row>
    <row r="27" spans="1:10" ht="28.5" x14ac:dyDescent="0.2">
      <c r="A27" s="2">
        <f t="shared" si="0"/>
        <v>26</v>
      </c>
      <c r="B27" s="2" t="s">
        <v>133</v>
      </c>
      <c r="C27" s="6" t="s">
        <v>134</v>
      </c>
      <c r="D27" s="2" t="s">
        <v>135</v>
      </c>
      <c r="E27" s="1">
        <v>2</v>
      </c>
      <c r="F27" s="2" t="s">
        <v>136</v>
      </c>
      <c r="G27" s="2" t="s">
        <v>133</v>
      </c>
      <c r="H27" s="2" t="s">
        <v>137</v>
      </c>
      <c r="I27" s="2" t="s">
        <v>138</v>
      </c>
      <c r="J27" s="1">
        <v>0.159</v>
      </c>
    </row>
    <row r="28" spans="1:10" ht="42.75" x14ac:dyDescent="0.2">
      <c r="A28" s="2">
        <f t="shared" si="0"/>
        <v>27</v>
      </c>
      <c r="B28" s="2" t="s">
        <v>139</v>
      </c>
      <c r="C28" s="6" t="s">
        <v>140</v>
      </c>
      <c r="D28" s="2" t="s">
        <v>141</v>
      </c>
      <c r="E28" s="1">
        <v>2</v>
      </c>
      <c r="F28" s="2" t="s">
        <v>142</v>
      </c>
      <c r="G28" s="2" t="s">
        <v>143</v>
      </c>
      <c r="H28" s="1"/>
      <c r="I28" s="1"/>
      <c r="J28" s="1"/>
    </row>
    <row r="29" spans="1:10" ht="57" x14ac:dyDescent="0.2">
      <c r="A29" s="2">
        <f t="shared" si="0"/>
        <v>28</v>
      </c>
      <c r="B29" s="2" t="s">
        <v>144</v>
      </c>
      <c r="C29" s="6" t="s">
        <v>145</v>
      </c>
      <c r="D29" s="2" t="s">
        <v>146</v>
      </c>
      <c r="E29" s="1">
        <v>1</v>
      </c>
      <c r="F29" s="2" t="s">
        <v>125</v>
      </c>
      <c r="G29" s="2" t="s">
        <v>147</v>
      </c>
      <c r="H29" s="2" t="s">
        <v>36</v>
      </c>
      <c r="I29" s="2" t="s">
        <v>148</v>
      </c>
      <c r="J29" s="1">
        <v>0.18</v>
      </c>
    </row>
    <row r="30" spans="1:10" ht="28.5" x14ac:dyDescent="0.2">
      <c r="A30" s="2">
        <f t="shared" si="0"/>
        <v>29</v>
      </c>
      <c r="B30" s="2" t="s">
        <v>149</v>
      </c>
      <c r="C30" s="6" t="s">
        <v>150</v>
      </c>
      <c r="D30" s="2" t="s">
        <v>151</v>
      </c>
      <c r="E30" s="1">
        <v>1</v>
      </c>
      <c r="F30" s="2" t="s">
        <v>125</v>
      </c>
      <c r="G30" s="2" t="s">
        <v>152</v>
      </c>
      <c r="H30" s="2" t="s">
        <v>24</v>
      </c>
      <c r="I30" s="2" t="s">
        <v>153</v>
      </c>
      <c r="J30" s="1">
        <v>1.2999999999999999E-2</v>
      </c>
    </row>
    <row r="31" spans="1:10" ht="42.75" x14ac:dyDescent="0.2">
      <c r="A31" s="2">
        <f t="shared" si="0"/>
        <v>30</v>
      </c>
      <c r="B31" s="2" t="s">
        <v>154</v>
      </c>
      <c r="C31" s="6" t="s">
        <v>155</v>
      </c>
      <c r="D31" s="2" t="s">
        <v>156</v>
      </c>
      <c r="E31" s="1">
        <v>2</v>
      </c>
      <c r="F31" s="2" t="s">
        <v>130</v>
      </c>
      <c r="G31" s="2" t="s">
        <v>154</v>
      </c>
      <c r="H31" s="2" t="s">
        <v>29</v>
      </c>
      <c r="I31" s="2" t="s">
        <v>157</v>
      </c>
      <c r="J31" s="1">
        <v>1.7999999999999999E-2</v>
      </c>
    </row>
    <row r="32" spans="1:10" ht="142.5" x14ac:dyDescent="0.2">
      <c r="A32" s="2">
        <f t="shared" si="0"/>
        <v>31</v>
      </c>
      <c r="B32" s="2" t="s">
        <v>158</v>
      </c>
      <c r="C32" s="6" t="s">
        <v>159</v>
      </c>
      <c r="D32" s="2" t="s">
        <v>160</v>
      </c>
      <c r="E32" s="1">
        <v>2</v>
      </c>
      <c r="F32" s="2" t="s">
        <v>161</v>
      </c>
      <c r="G32" s="2" t="s">
        <v>158</v>
      </c>
      <c r="H32" s="2" t="s">
        <v>36</v>
      </c>
      <c r="I32" s="2" t="s">
        <v>162</v>
      </c>
      <c r="J32" s="1">
        <v>0.94</v>
      </c>
    </row>
    <row r="33" spans="1:10" ht="71.25" x14ac:dyDescent="0.2">
      <c r="A33" s="2">
        <f t="shared" si="0"/>
        <v>32</v>
      </c>
      <c r="B33" s="2" t="s">
        <v>163</v>
      </c>
      <c r="C33" s="6" t="s">
        <v>164</v>
      </c>
      <c r="D33" s="2" t="s">
        <v>165</v>
      </c>
      <c r="E33" s="1">
        <v>1</v>
      </c>
      <c r="F33" s="2" t="s">
        <v>166</v>
      </c>
      <c r="G33" s="2" t="s">
        <v>163</v>
      </c>
      <c r="H33" s="2" t="s">
        <v>167</v>
      </c>
      <c r="I33" s="2" t="s">
        <v>168</v>
      </c>
      <c r="J33" s="1">
        <v>0.39500000000000002</v>
      </c>
    </row>
    <row r="34" spans="1:10" ht="99.75" x14ac:dyDescent="0.2">
      <c r="A34" s="2">
        <f t="shared" si="0"/>
        <v>33</v>
      </c>
      <c r="B34" s="2" t="s">
        <v>169</v>
      </c>
      <c r="C34" s="6" t="s">
        <v>170</v>
      </c>
      <c r="D34" s="2" t="s">
        <v>171</v>
      </c>
      <c r="E34" s="1">
        <v>1</v>
      </c>
      <c r="F34" s="2" t="s">
        <v>172</v>
      </c>
      <c r="G34" s="2" t="s">
        <v>169</v>
      </c>
      <c r="H34" s="2" t="s">
        <v>36</v>
      </c>
      <c r="I34" s="2" t="s">
        <v>173</v>
      </c>
      <c r="J34" s="1">
        <v>2.2999999999999998</v>
      </c>
    </row>
    <row r="35" spans="1:10" ht="71.25" x14ac:dyDescent="0.2">
      <c r="A35" s="2">
        <f t="shared" si="0"/>
        <v>34</v>
      </c>
      <c r="B35" s="2" t="s">
        <v>174</v>
      </c>
      <c r="C35" s="6" t="s">
        <v>175</v>
      </c>
      <c r="D35" s="2" t="s">
        <v>176</v>
      </c>
      <c r="E35" s="1">
        <v>1</v>
      </c>
      <c r="F35" s="2" t="s">
        <v>177</v>
      </c>
      <c r="G35" s="2" t="s">
        <v>174</v>
      </c>
      <c r="H35" s="2" t="s">
        <v>29</v>
      </c>
      <c r="I35" s="2" t="s">
        <v>178</v>
      </c>
      <c r="J35" s="1">
        <v>0.82</v>
      </c>
    </row>
    <row r="36" spans="1:10" ht="71.25" x14ac:dyDescent="0.2">
      <c r="A36" s="2">
        <f t="shared" si="0"/>
        <v>35</v>
      </c>
      <c r="B36" s="2" t="s">
        <v>179</v>
      </c>
      <c r="C36" s="6" t="s">
        <v>180</v>
      </c>
      <c r="D36" s="2" t="s">
        <v>181</v>
      </c>
      <c r="E36" s="1">
        <v>1</v>
      </c>
      <c r="F36" s="2" t="s">
        <v>182</v>
      </c>
      <c r="G36" s="2" t="s">
        <v>179</v>
      </c>
      <c r="H36" s="1"/>
      <c r="I36" s="1"/>
      <c r="J36" s="1"/>
    </row>
    <row r="37" spans="1:10" ht="71.25" x14ac:dyDescent="0.2">
      <c r="A37" s="2">
        <f t="shared" si="0"/>
        <v>36</v>
      </c>
      <c r="B37" s="2" t="s">
        <v>183</v>
      </c>
      <c r="C37" s="6" t="s">
        <v>184</v>
      </c>
      <c r="D37" s="2" t="s">
        <v>185</v>
      </c>
      <c r="E37" s="1">
        <v>1</v>
      </c>
      <c r="F37" s="2" t="s">
        <v>186</v>
      </c>
      <c r="G37" s="2" t="s">
        <v>187</v>
      </c>
      <c r="H37" s="1"/>
      <c r="I37" s="1"/>
      <c r="J37" s="1"/>
    </row>
    <row r="38" spans="1:10" ht="71.25" x14ac:dyDescent="0.2">
      <c r="A38" s="2">
        <f t="shared" si="0"/>
        <v>37</v>
      </c>
      <c r="B38" s="2" t="s">
        <v>188</v>
      </c>
      <c r="C38" s="6" t="s">
        <v>184</v>
      </c>
      <c r="D38" s="2" t="s">
        <v>189</v>
      </c>
      <c r="E38" s="1">
        <v>1</v>
      </c>
      <c r="F38" s="2" t="s">
        <v>186</v>
      </c>
      <c r="G38" s="2" t="s">
        <v>188</v>
      </c>
      <c r="H38" s="1"/>
      <c r="I38" s="1"/>
      <c r="J38" s="1"/>
    </row>
    <row r="39" spans="1:10" ht="71.25" x14ac:dyDescent="0.2">
      <c r="A39" s="2">
        <f t="shared" si="0"/>
        <v>38</v>
      </c>
      <c r="B39" s="2" t="s">
        <v>190</v>
      </c>
      <c r="C39" s="6" t="s">
        <v>191</v>
      </c>
      <c r="D39" s="2" t="s">
        <v>192</v>
      </c>
      <c r="E39" s="1">
        <v>1</v>
      </c>
      <c r="F39" s="2" t="s">
        <v>186</v>
      </c>
      <c r="G39" s="2" t="s">
        <v>190</v>
      </c>
      <c r="H39" s="1"/>
      <c r="I39" s="1"/>
      <c r="J39" s="1"/>
    </row>
    <row r="40" spans="1:10" ht="128.25" x14ac:dyDescent="0.2">
      <c r="A40" s="2">
        <f t="shared" si="0"/>
        <v>39</v>
      </c>
      <c r="B40" s="2" t="s">
        <v>193</v>
      </c>
      <c r="C40" s="6" t="s">
        <v>194</v>
      </c>
      <c r="D40" s="2" t="s">
        <v>195</v>
      </c>
      <c r="E40" s="1">
        <v>1</v>
      </c>
      <c r="F40" s="2" t="s">
        <v>196</v>
      </c>
      <c r="G40" s="2" t="s">
        <v>193</v>
      </c>
      <c r="H40" s="2" t="s">
        <v>14</v>
      </c>
      <c r="I40" s="2" t="s">
        <v>193</v>
      </c>
      <c r="J40" s="1">
        <v>0.81200000000000006</v>
      </c>
    </row>
    <row r="41" spans="1:10" ht="85.5" x14ac:dyDescent="0.2">
      <c r="A41" s="2">
        <f t="shared" si="0"/>
        <v>40</v>
      </c>
      <c r="B41" s="2" t="s">
        <v>197</v>
      </c>
      <c r="C41" s="6" t="s">
        <v>198</v>
      </c>
      <c r="D41" s="2" t="s">
        <v>199</v>
      </c>
      <c r="E41" s="1">
        <v>1</v>
      </c>
      <c r="F41" s="2" t="s">
        <v>200</v>
      </c>
      <c r="G41" s="2" t="s">
        <v>197</v>
      </c>
      <c r="H41" s="2" t="s">
        <v>24</v>
      </c>
      <c r="I41" s="2" t="s">
        <v>201</v>
      </c>
      <c r="J41" s="1">
        <v>0.59</v>
      </c>
    </row>
    <row r="42" spans="1:10" ht="57" x14ac:dyDescent="0.2">
      <c r="A42" s="2">
        <f t="shared" si="0"/>
        <v>41</v>
      </c>
      <c r="B42" s="2" t="s">
        <v>202</v>
      </c>
      <c r="C42" s="6" t="s">
        <v>203</v>
      </c>
      <c r="D42" s="2" t="s">
        <v>204</v>
      </c>
      <c r="E42" s="1">
        <v>1</v>
      </c>
      <c r="F42" s="2" t="s">
        <v>200</v>
      </c>
      <c r="G42" s="2" t="s">
        <v>205</v>
      </c>
      <c r="H42" s="2" t="s">
        <v>36</v>
      </c>
      <c r="I42" s="2" t="s">
        <v>206</v>
      </c>
      <c r="J42" s="1">
        <v>0.43</v>
      </c>
    </row>
  </sheetData>
  <pageMargins left="0.7" right="0.7" top="0.75" bottom="0.75" header="0.3" footer="0.3"/>
  <pageSetup scale="52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testv3</vt:lpstr>
      <vt:lpstr>testv3!Print_Titles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Robert Evanisko</cp:lastModifiedBy>
  <cp:lastPrinted>2025-10-27T20:36:47Z</cp:lastPrinted>
  <dcterms:created xsi:type="dcterms:W3CDTF">2025-10-27T20:29:54Z</dcterms:created>
  <dcterms:modified xsi:type="dcterms:W3CDTF">2025-10-27T20:40:22Z</dcterms:modified>
</cp:coreProperties>
</file>